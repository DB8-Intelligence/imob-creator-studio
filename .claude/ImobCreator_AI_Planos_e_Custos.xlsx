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Features" sheetId="1" state="visible" r:id="rId1"/>
    <sheet xmlns:r="http://schemas.openxmlformats.org/officeDocument/2006/relationships" name="Custos por Ação" sheetId="2" state="visible" r:id="rId2"/>
    <sheet xmlns:r="http://schemas.openxmlformats.org/officeDocument/2006/relationships" name="Precific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74151"/>
      <sz val="10"/>
    </font>
    <font>
      <name val="Arial"/>
      <b val="1"/>
      <color rgb="00FFFFFF"/>
      <sz val="11"/>
    </font>
    <font>
      <name val="Arial"/>
      <color rgb="009CA3AF"/>
      <sz val="9"/>
    </font>
    <font>
      <name val="Arial"/>
      <color rgb="00374151"/>
      <sz val="10"/>
    </font>
    <font>
      <name val="Arial"/>
      <color rgb="00374151"/>
      <sz val="12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color rgb="004B5563"/>
      <sz val="9"/>
    </font>
    <font>
      <name val="Arial"/>
      <color rgb="0092400E"/>
      <sz val="10"/>
    </font>
    <font>
      <name val="Arial"/>
      <b val="1"/>
      <color rgb="001E3A8A"/>
      <sz val="10"/>
    </font>
    <font>
      <name val="Arial"/>
      <b val="1"/>
      <color rgb="00FFFFFF"/>
      <sz val="12"/>
    </font>
    <font>
      <name val="Arial"/>
      <i val="1"/>
      <color rgb="0092400E"/>
      <sz val="9"/>
    </font>
    <font>
      <name val="Arial"/>
      <i val="1"/>
      <color rgb="006B7280"/>
      <sz val="9"/>
    </font>
    <font>
      <name val="Arial"/>
      <b val="1"/>
      <color rgb="00374151"/>
      <sz val="10"/>
    </font>
  </fonts>
  <fills count="1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/>
    </xf>
    <xf numFmtId="0" fontId="10" fillId="7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/>
    </xf>
    <xf numFmtId="0" fontId="0" fillId="2" borderId="0" pivotButton="0" quotePrefix="0" xfId="0"/>
    <xf numFmtId="0" fontId="3" fillId="2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1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vertical="center"/>
    </xf>
    <xf numFmtId="0" fontId="11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0" customHeight="1">
      <c r="A1" s="1" t="inlineStr">
        <is>
          <t>ImobCreator AI — Matriz de Features e Planos</t>
        </is>
      </c>
    </row>
    <row r="2" ht="22" customHeight="1">
      <c r="A2" s="2" t="inlineStr">
        <is>
          <t>Preencha ✅ (SIM) ou ❌ (NÃO) para cada feature por plano</t>
        </is>
      </c>
    </row>
    <row r="3" ht="40" customHeight="1">
      <c r="A3" s="3" t="inlineStr"/>
      <c r="B3" s="3" t="inlineStr">
        <is>
          <t>FEATURE</t>
        </is>
      </c>
      <c r="C3" s="3" t="inlineStr">
        <is>
          <t>STARTER
R$97/mês</t>
        </is>
      </c>
      <c r="D3" s="3" t="inlineStr">
        <is>
          <t>BÁSICO
R$197/mês</t>
        </is>
      </c>
      <c r="E3" s="3" t="inlineStr">
        <is>
          <t>PRO
R$397/mês</t>
        </is>
      </c>
      <c r="F3" s="3" t="inlineStr">
        <is>
          <t>MAX
R$697/mês</t>
        </is>
      </c>
    </row>
    <row r="4" ht="26" customHeight="1">
      <c r="A4" s="4" t="inlineStr">
        <is>
          <t>🎨 CRIATIVOS</t>
        </is>
      </c>
    </row>
    <row r="5" ht="22" customHeight="1">
      <c r="A5" s="5" t="n">
        <v>1</v>
      </c>
      <c r="B5" s="6" t="inlineStr">
        <is>
          <t>Gerador de legendas e CTAs com IA</t>
        </is>
      </c>
      <c r="C5" s="7" t="inlineStr"/>
      <c r="D5" s="7" t="inlineStr"/>
      <c r="E5" s="7" t="inlineStr"/>
      <c r="F5" s="7" t="inlineStr"/>
    </row>
    <row r="6" ht="22" customHeight="1">
      <c r="A6" s="8" t="n">
        <v>2</v>
      </c>
      <c r="B6" s="9" t="inlineStr">
        <is>
          <t>Templates Post Feed (1:1 Instagram)</t>
        </is>
      </c>
      <c r="C6" s="10" t="inlineStr"/>
      <c r="D6" s="10" t="inlineStr"/>
      <c r="E6" s="10" t="inlineStr"/>
      <c r="F6" s="10" t="inlineStr"/>
    </row>
    <row r="7" ht="22" customHeight="1">
      <c r="A7" s="5" t="n">
        <v>3</v>
      </c>
      <c r="B7" s="6" t="inlineStr">
        <is>
          <t>Templates Story (9:16)</t>
        </is>
      </c>
      <c r="C7" s="7" t="inlineStr"/>
      <c r="D7" s="7" t="inlineStr"/>
      <c r="E7" s="7" t="inlineStr"/>
      <c r="F7" s="7" t="inlineStr"/>
    </row>
    <row r="8" ht="22" customHeight="1">
      <c r="A8" s="8" t="n">
        <v>4</v>
      </c>
      <c r="B8" s="9" t="inlineStr">
        <is>
          <t>Templates Banner (anúncio pago)</t>
        </is>
      </c>
      <c r="C8" s="10" t="inlineStr"/>
      <c r="D8" s="10" t="inlineStr"/>
      <c r="E8" s="10" t="inlineStr"/>
      <c r="F8" s="10" t="inlineStr"/>
    </row>
    <row r="9" ht="22" customHeight="1">
      <c r="A9" s="5" t="n">
        <v>5</v>
      </c>
      <c r="B9" s="6" t="inlineStr">
        <is>
          <t>Carrossel / Sequência de posts</t>
        </is>
      </c>
      <c r="C9" s="7" t="inlineStr"/>
      <c r="D9" s="7" t="inlineStr"/>
      <c r="E9" s="7" t="inlineStr"/>
      <c r="F9" s="7" t="inlineStr"/>
    </row>
    <row r="10" ht="22" customHeight="1">
      <c r="A10" s="8" t="n">
        <v>6</v>
      </c>
      <c r="B10" s="9" t="inlineStr">
        <is>
          <t>Arte Premium (editorial de luxo)</t>
        </is>
      </c>
      <c r="C10" s="10" t="inlineStr"/>
      <c r="D10" s="10" t="inlineStr"/>
      <c r="E10" s="10" t="inlineStr"/>
      <c r="F10" s="10" t="inlineStr"/>
    </row>
    <row r="11" ht="22" customHeight="1">
      <c r="A11" s="5" t="n">
        <v>7</v>
      </c>
      <c r="B11" s="6" t="inlineStr">
        <is>
          <t>Thumbnail para vídeos e anúncios</t>
        </is>
      </c>
      <c r="C11" s="7" t="inlineStr"/>
      <c r="D11" s="7" t="inlineStr"/>
      <c r="E11" s="7" t="inlineStr"/>
      <c r="F11" s="7" t="inlineStr"/>
    </row>
    <row r="12" ht="22" customHeight="1">
      <c r="A12" s="8" t="n">
        <v>8</v>
      </c>
      <c r="B12" s="9" t="inlineStr">
        <is>
          <t>Upscale de imagens com IA</t>
        </is>
      </c>
      <c r="C12" s="10" t="inlineStr"/>
      <c r="D12" s="10" t="inlineStr"/>
      <c r="E12" s="10" t="inlineStr"/>
      <c r="F12" s="10" t="inlineStr"/>
    </row>
    <row r="13" ht="22" customHeight="1">
      <c r="A13" s="5" t="n">
        <v>9</v>
      </c>
      <c r="B13" s="6" t="inlineStr">
        <is>
          <t>Reverse Prompt Lab</t>
        </is>
      </c>
      <c r="C13" s="7" t="inlineStr"/>
      <c r="D13" s="7" t="inlineStr"/>
      <c r="E13" s="7" t="inlineStr"/>
      <c r="F13" s="7" t="inlineStr"/>
    </row>
    <row r="14" ht="22" customHeight="1">
      <c r="A14" s="8" t="n">
        <v>10</v>
      </c>
      <c r="B14" s="9" t="inlineStr">
        <is>
          <t>Agentes de Conteúdo IA</t>
        </is>
      </c>
      <c r="C14" s="10" t="inlineStr"/>
      <c r="D14" s="10" t="inlineStr"/>
      <c r="E14" s="10" t="inlineStr"/>
      <c r="F14" s="10" t="inlineStr"/>
    </row>
    <row r="15" ht="26" customHeight="1">
      <c r="A15" s="4" t="inlineStr">
        <is>
          <t>🎬 VÍDEO</t>
        </is>
      </c>
    </row>
    <row r="16" ht="22" customHeight="1">
      <c r="A16" s="5" t="n">
        <v>1</v>
      </c>
      <c r="B16" s="6" t="inlineStr">
        <is>
          <t>Geração de vídeos cinematográficos (Reels 9:16)</t>
        </is>
      </c>
      <c r="C16" s="7" t="inlineStr"/>
      <c r="D16" s="7" t="inlineStr"/>
      <c r="E16" s="7" t="inlineStr"/>
      <c r="F16" s="7" t="inlineStr"/>
    </row>
    <row r="17" ht="22" customHeight="1">
      <c r="A17" s="8" t="n">
        <v>2</v>
      </c>
      <c r="B17" s="9" t="inlineStr">
        <is>
          <t>Ken Burns + xfade automático</t>
        </is>
      </c>
      <c r="C17" s="10" t="inlineStr"/>
      <c r="D17" s="10" t="inlineStr"/>
      <c r="E17" s="10" t="inlineStr"/>
      <c r="F17" s="10" t="inlineStr"/>
    </row>
    <row r="18" ht="22" customHeight="1">
      <c r="A18" s="5" t="n">
        <v>3</v>
      </c>
      <c r="B18" s="6" t="inlineStr">
        <is>
          <t>Trilha sonora royalty-free</t>
        </is>
      </c>
      <c r="C18" s="7" t="inlineStr"/>
      <c r="D18" s="7" t="inlineStr"/>
      <c r="E18" s="7" t="inlineStr"/>
      <c r="F18" s="7" t="inlineStr"/>
    </row>
    <row r="19" ht="22" customHeight="1">
      <c r="A19" s="8" t="n">
        <v>4</v>
      </c>
      <c r="B19" s="9" t="inlineStr">
        <is>
          <t>Texto overlay com branding</t>
        </is>
      </c>
      <c r="C19" s="10" t="inlineStr"/>
      <c r="D19" s="10" t="inlineStr"/>
      <c r="E19" s="10" t="inlineStr"/>
      <c r="F19" s="10" t="inlineStr"/>
    </row>
    <row r="20" ht="26" customHeight="1">
      <c r="A20" s="4" t="inlineStr">
        <is>
          <t>🏠 IMÓVEIS</t>
        </is>
      </c>
    </row>
    <row r="21" ht="22" customHeight="1">
      <c r="A21" s="5" t="n">
        <v>1</v>
      </c>
      <c r="B21" s="6" t="inlineStr">
        <is>
          <t>Cadastro de imóveis (limite/mês)</t>
        </is>
      </c>
      <c r="C21" s="7" t="inlineStr"/>
      <c r="D21" s="7" t="inlineStr"/>
      <c r="E21" s="7" t="inlineStr"/>
      <c r="F21" s="7" t="inlineStr"/>
    </row>
    <row r="22" ht="22" customHeight="1">
      <c r="A22" s="8" t="n">
        <v>2</v>
      </c>
      <c r="B22" s="9" t="inlineStr">
        <is>
          <t>Upload de fotos e documentos</t>
        </is>
      </c>
      <c r="C22" s="10" t="inlineStr"/>
      <c r="D22" s="10" t="inlineStr"/>
      <c r="E22" s="10" t="inlineStr"/>
      <c r="F22" s="10" t="inlineStr"/>
    </row>
    <row r="23" ht="22" customHeight="1">
      <c r="A23" s="5" t="n">
        <v>3</v>
      </c>
      <c r="B23" s="6" t="inlineStr">
        <is>
          <t>Editor de imóvel</t>
        </is>
      </c>
      <c r="C23" s="7" t="inlineStr"/>
      <c r="D23" s="7" t="inlineStr"/>
      <c r="E23" s="7" t="inlineStr"/>
      <c r="F23" s="7" t="inlineStr"/>
    </row>
    <row r="24" ht="22" customHeight="1">
      <c r="A24" s="8" t="n">
        <v>4</v>
      </c>
      <c r="B24" s="9" t="inlineStr">
        <is>
          <t>Portais — feed ZAP Imóveis</t>
        </is>
      </c>
      <c r="C24" s="10" t="inlineStr"/>
      <c r="D24" s="10" t="inlineStr"/>
      <c r="E24" s="10" t="inlineStr"/>
      <c r="F24" s="10" t="inlineStr"/>
    </row>
    <row r="25" ht="22" customHeight="1">
      <c r="A25" s="5" t="n">
        <v>5</v>
      </c>
      <c r="B25" s="6" t="inlineStr">
        <is>
          <t>Portais — feed OLX / Viva Real</t>
        </is>
      </c>
      <c r="C25" s="7" t="inlineStr"/>
      <c r="D25" s="7" t="inlineStr"/>
      <c r="E25" s="7" t="inlineStr"/>
      <c r="F25" s="7" t="inlineStr"/>
    </row>
    <row r="26" ht="22" customHeight="1">
      <c r="A26" s="8" t="n">
        <v>6</v>
      </c>
      <c r="B26" s="9" t="inlineStr">
        <is>
          <t>Portais — feed Imovelweb</t>
        </is>
      </c>
      <c r="C26" s="10" t="inlineStr"/>
      <c r="D26" s="10" t="inlineStr"/>
      <c r="E26" s="10" t="inlineStr"/>
      <c r="F26" s="10" t="inlineStr"/>
    </row>
    <row r="27" ht="26" customHeight="1">
      <c r="A27" s="4" t="inlineStr">
        <is>
          <t>👥 CRM</t>
        </is>
      </c>
    </row>
    <row r="28" ht="22" customHeight="1">
      <c r="A28" s="5" t="n">
        <v>1</v>
      </c>
      <c r="B28" s="6" t="inlineStr">
        <is>
          <t>Pipeline Kanban de leads</t>
        </is>
      </c>
      <c r="C28" s="7" t="inlineStr"/>
      <c r="D28" s="7" t="inlineStr"/>
      <c r="E28" s="7" t="inlineStr"/>
      <c r="F28" s="7" t="inlineStr"/>
    </row>
    <row r="29" ht="22" customHeight="1">
      <c r="A29" s="8" t="n">
        <v>2</v>
      </c>
      <c r="B29" s="9" t="inlineStr">
        <is>
          <t>Cadastro manual de leads</t>
        </is>
      </c>
      <c r="C29" s="10" t="inlineStr"/>
      <c r="D29" s="10" t="inlineStr"/>
      <c r="E29" s="10" t="inlineStr"/>
      <c r="F29" s="10" t="inlineStr"/>
    </row>
    <row r="30" ht="22" customHeight="1">
      <c r="A30" s="5" t="n">
        <v>3</v>
      </c>
      <c r="B30" s="6" t="inlineStr">
        <is>
          <t>Histórico de interações</t>
        </is>
      </c>
      <c r="C30" s="7" t="inlineStr"/>
      <c r="D30" s="7" t="inlineStr"/>
      <c r="E30" s="7" t="inlineStr"/>
      <c r="F30" s="7" t="inlineStr"/>
    </row>
    <row r="31" ht="22" customHeight="1">
      <c r="A31" s="8" t="n">
        <v>4</v>
      </c>
      <c r="B31" s="9" t="inlineStr">
        <is>
          <t>Módulo de Atendimentos</t>
        </is>
      </c>
      <c r="C31" s="10" t="inlineStr"/>
      <c r="D31" s="10" t="inlineStr"/>
      <c r="E31" s="10" t="inlineStr"/>
      <c r="F31" s="10" t="inlineStr"/>
    </row>
    <row r="32" ht="22" customHeight="1">
      <c r="A32" s="5" t="n">
        <v>5</v>
      </c>
      <c r="B32" s="6" t="inlineStr">
        <is>
          <t>Módulo Financeiro (comissões/despesas)</t>
        </is>
      </c>
      <c r="C32" s="7" t="inlineStr"/>
      <c r="D32" s="7" t="inlineStr"/>
      <c r="E32" s="7" t="inlineStr"/>
      <c r="F32" s="7" t="inlineStr"/>
    </row>
    <row r="33" ht="22" customHeight="1">
      <c r="A33" s="8" t="n">
        <v>6</v>
      </c>
      <c r="B33" s="9" t="inlineStr">
        <is>
          <t>Múltiplos workspaces / equipes</t>
        </is>
      </c>
      <c r="C33" s="10" t="inlineStr"/>
      <c r="D33" s="10" t="inlineStr"/>
      <c r="E33" s="10" t="inlineStr"/>
      <c r="F33" s="10" t="inlineStr"/>
    </row>
    <row r="34" ht="22" customHeight="1">
      <c r="A34" s="5" t="n">
        <v>7</v>
      </c>
      <c r="B34" s="6" t="inlineStr">
        <is>
          <t>Papéis e governança (gestor/corretor)</t>
        </is>
      </c>
      <c r="C34" s="7" t="inlineStr"/>
      <c r="D34" s="7" t="inlineStr"/>
      <c r="E34" s="7" t="inlineStr"/>
      <c r="F34" s="7" t="inlineStr"/>
    </row>
    <row r="35" ht="26" customHeight="1">
      <c r="A35" s="4" t="inlineStr">
        <is>
          <t>📱 WHATSAPP &amp; AUTOMAÇÕES</t>
        </is>
      </c>
    </row>
    <row r="36" ht="22" customHeight="1">
      <c r="A36" s="5" t="n">
        <v>1</v>
      </c>
      <c r="B36" s="6" t="inlineStr">
        <is>
          <t>Automações WhatsApp (Evolution API)</t>
        </is>
      </c>
      <c r="C36" s="7" t="inlineStr"/>
      <c r="D36" s="7" t="inlineStr"/>
      <c r="E36" s="7" t="inlineStr"/>
      <c r="F36" s="7" t="inlineStr"/>
    </row>
    <row r="37" ht="22" customHeight="1">
      <c r="A37" s="8" t="n">
        <v>2</v>
      </c>
      <c r="B37" s="9" t="inlineStr">
        <is>
          <t>Fluxo boas-vindas lead novo</t>
        </is>
      </c>
      <c r="C37" s="10" t="inlineStr"/>
      <c r="D37" s="10" t="inlineStr"/>
      <c r="E37" s="10" t="inlineStr"/>
      <c r="F37" s="10" t="inlineStr"/>
    </row>
    <row r="38" ht="22" customHeight="1">
      <c r="A38" s="5" t="n">
        <v>3</v>
      </c>
      <c r="B38" s="6" t="inlineStr">
        <is>
          <t>Fluxo confirmação de visita</t>
        </is>
      </c>
      <c r="C38" s="7" t="inlineStr"/>
      <c r="D38" s="7" t="inlineStr"/>
      <c r="E38" s="7" t="inlineStr"/>
      <c r="F38" s="7" t="inlineStr"/>
    </row>
    <row r="39" ht="22" customHeight="1">
      <c r="A39" s="8" t="n">
        <v>4</v>
      </c>
      <c r="B39" s="9" t="inlineStr">
        <is>
          <t>Fluxo lembrete 24h</t>
        </is>
      </c>
      <c r="C39" s="10" t="inlineStr"/>
      <c r="D39" s="10" t="inlineStr"/>
      <c r="E39" s="10" t="inlineStr"/>
      <c r="F39" s="10" t="inlineStr"/>
    </row>
    <row r="40" ht="22" customHeight="1">
      <c r="A40" s="5" t="n">
        <v>5</v>
      </c>
      <c r="B40" s="6" t="inlineStr">
        <is>
          <t>Fluxo follow-up pós-visita</t>
        </is>
      </c>
      <c r="C40" s="7" t="inlineStr"/>
      <c r="D40" s="7" t="inlineStr"/>
      <c r="E40" s="7" t="inlineStr"/>
      <c r="F40" s="7" t="inlineStr"/>
    </row>
    <row r="41" ht="22" customHeight="1">
      <c r="A41" s="8" t="n">
        <v>6</v>
      </c>
      <c r="B41" s="9" t="inlineStr">
        <is>
          <t>Fluxo reativação lead frio</t>
        </is>
      </c>
      <c r="C41" s="10" t="inlineStr"/>
      <c r="D41" s="10" t="inlineStr"/>
      <c r="E41" s="10" t="inlineStr"/>
      <c r="F41" s="10" t="inlineStr"/>
    </row>
    <row r="42" ht="22" customHeight="1">
      <c r="A42" s="5" t="n">
        <v>7</v>
      </c>
      <c r="B42" s="6" t="inlineStr">
        <is>
          <t>Fluxo envio de criativo</t>
        </is>
      </c>
      <c r="C42" s="7" t="inlineStr"/>
      <c r="D42" s="7" t="inlineStr"/>
      <c r="E42" s="7" t="inlineStr"/>
      <c r="F42" s="7" t="inlineStr"/>
    </row>
    <row r="43" ht="22" customHeight="1">
      <c r="A43" s="8" t="n">
        <v>8</v>
      </c>
      <c r="B43" s="9" t="inlineStr">
        <is>
          <t>Fluxo novo imóvel match</t>
        </is>
      </c>
      <c r="C43" s="10" t="inlineStr"/>
      <c r="D43" s="10" t="inlineStr"/>
      <c r="E43" s="10" t="inlineStr"/>
      <c r="F43" s="10" t="inlineStr"/>
    </row>
    <row r="44" ht="26" customHeight="1">
      <c r="A44" s="4" t="inlineStr">
        <is>
          <t>📲 REDES SOCIAIS</t>
        </is>
      </c>
    </row>
    <row r="45" ht="22" customHeight="1">
      <c r="A45" s="5" t="n">
        <v>1</v>
      </c>
      <c r="B45" s="6" t="inlineStr">
        <is>
          <t>Publicação automática Instagram</t>
        </is>
      </c>
      <c r="C45" s="7" t="inlineStr"/>
      <c r="D45" s="7" t="inlineStr"/>
      <c r="E45" s="7" t="inlineStr"/>
      <c r="F45" s="7" t="inlineStr"/>
    </row>
    <row r="46" ht="22" customHeight="1">
      <c r="A46" s="8" t="n">
        <v>2</v>
      </c>
      <c r="B46" s="9" t="inlineStr">
        <is>
          <t>Publicação automática Facebook</t>
        </is>
      </c>
      <c r="C46" s="10" t="inlineStr"/>
      <c r="D46" s="10" t="inlineStr"/>
      <c r="E46" s="10" t="inlineStr"/>
      <c r="F46" s="10" t="inlineStr"/>
    </row>
    <row r="47" ht="22" customHeight="1">
      <c r="A47" s="5" t="n">
        <v>3</v>
      </c>
      <c r="B47" s="6" t="inlineStr">
        <is>
          <t>Agendamento de posts</t>
        </is>
      </c>
      <c r="C47" s="7" t="inlineStr"/>
      <c r="D47" s="7" t="inlineStr"/>
      <c r="E47" s="7" t="inlineStr"/>
      <c r="F47" s="7" t="inlineStr"/>
    </row>
    <row r="48" ht="26" customHeight="1">
      <c r="A48" s="4" t="inlineStr">
        <is>
          <t>📚 BOOK DO CORRETOR</t>
        </is>
      </c>
    </row>
    <row r="49" ht="22" customHeight="1">
      <c r="A49" s="5" t="n">
        <v>1</v>
      </c>
      <c r="B49" s="6" t="inlineStr">
        <is>
          <t>Book PDF profissional</t>
        </is>
      </c>
      <c r="C49" s="7" t="inlineStr"/>
      <c r="D49" s="7" t="inlineStr"/>
      <c r="E49" s="7" t="inlineStr"/>
      <c r="F49" s="7" t="inlineStr"/>
    </row>
    <row r="50" ht="22" customHeight="1">
      <c r="A50" s="8" t="n">
        <v>2</v>
      </c>
      <c r="B50" s="9" t="inlineStr">
        <is>
          <t>Templates premium de capa</t>
        </is>
      </c>
      <c r="C50" s="10" t="inlineStr"/>
      <c r="D50" s="10" t="inlineStr"/>
      <c r="E50" s="10" t="inlineStr"/>
      <c r="F50" s="10" t="inlineStr"/>
    </row>
    <row r="51" ht="22" customHeight="1">
      <c r="A51" s="5" t="n">
        <v>3</v>
      </c>
      <c r="B51" s="6" t="inlineStr">
        <is>
          <t>Link público compartilhável</t>
        </is>
      </c>
      <c r="C51" s="7" t="inlineStr"/>
      <c r="D51" s="7" t="inlineStr"/>
      <c r="E51" s="7" t="inlineStr"/>
      <c r="F51" s="7" t="inlineStr"/>
    </row>
    <row r="52" ht="22" customHeight="1">
      <c r="A52" s="8" t="n">
        <v>4</v>
      </c>
      <c r="B52" s="9" t="inlineStr">
        <is>
          <t>Portfólio de imóveis no book</t>
        </is>
      </c>
      <c r="C52" s="10" t="inlineStr"/>
      <c r="D52" s="10" t="inlineStr"/>
      <c r="E52" s="10" t="inlineStr"/>
      <c r="F52" s="10" t="inlineStr"/>
    </row>
    <row r="53" ht="26" customHeight="1">
      <c r="A53" s="4" t="inlineStr">
        <is>
          <t>⚙️ LIMITES E SUPORTE</t>
        </is>
      </c>
    </row>
    <row r="54" ht="22" customHeight="1">
      <c r="A54" s="5" t="n">
        <v>1</v>
      </c>
      <c r="B54" s="6" t="inlineStr">
        <is>
          <t>Créditos mensais</t>
        </is>
      </c>
      <c r="C54" s="7" t="inlineStr"/>
      <c r="D54" s="7" t="inlineStr"/>
      <c r="E54" s="7" t="inlineStr"/>
      <c r="F54" s="7" t="inlineStr"/>
    </row>
    <row r="55" ht="22" customHeight="1">
      <c r="A55" s="8" t="n">
        <v>2</v>
      </c>
      <c r="B55" s="9" t="inlineStr">
        <is>
          <t>Imóveis ativos simultâneos</t>
        </is>
      </c>
      <c r="C55" s="10" t="inlineStr"/>
      <c r="D55" s="10" t="inlineStr"/>
      <c r="E55" s="10" t="inlineStr"/>
      <c r="F55" s="10" t="inlineStr"/>
    </row>
    <row r="56" ht="22" customHeight="1">
      <c r="A56" s="5" t="n">
        <v>3</v>
      </c>
      <c r="B56" s="6" t="inlineStr">
        <is>
          <t>Usuários por conta</t>
        </is>
      </c>
      <c r="C56" s="7" t="inlineStr"/>
      <c r="D56" s="7" t="inlineStr"/>
      <c r="E56" s="7" t="inlineStr"/>
      <c r="F56" s="7" t="inlineStr"/>
    </row>
    <row r="57" ht="22" customHeight="1">
      <c r="A57" s="8" t="n">
        <v>4</v>
      </c>
      <c r="B57" s="9" t="inlineStr">
        <is>
          <t>Suporte</t>
        </is>
      </c>
      <c r="C57" s="10" t="inlineStr"/>
      <c r="D57" s="10" t="inlineStr"/>
      <c r="E57" s="10" t="inlineStr"/>
      <c r="F57" s="10" t="inlineStr"/>
    </row>
    <row r="58" ht="22" customHeight="1">
      <c r="A58" s="5" t="n">
        <v>5</v>
      </c>
      <c r="B58" s="6" t="inlineStr">
        <is>
          <t>Onboarding</t>
        </is>
      </c>
      <c r="C58" s="7" t="inlineStr"/>
      <c r="D58" s="7" t="inlineStr"/>
      <c r="E58" s="7" t="inlineStr"/>
      <c r="F58" s="7" t="inlineStr"/>
    </row>
    <row r="59" ht="22" customHeight="1">
      <c r="A59" s="8" t="n">
        <v>6</v>
      </c>
      <c r="B59" s="9" t="inlineStr">
        <is>
          <t>API de integração externa</t>
        </is>
      </c>
      <c r="C59" s="10" t="inlineStr"/>
      <c r="D59" s="10" t="inlineStr"/>
      <c r="E59" s="10" t="inlineStr"/>
      <c r="F59" s="10" t="inlineStr"/>
    </row>
  </sheetData>
  <mergeCells count="10">
    <mergeCell ref="A2:F2"/>
    <mergeCell ref="A44:F44"/>
    <mergeCell ref="A1:F1"/>
    <mergeCell ref="A27:F27"/>
    <mergeCell ref="A35:F35"/>
    <mergeCell ref="A4:F4"/>
    <mergeCell ref="A48:F48"/>
    <mergeCell ref="A20:F20"/>
    <mergeCell ref="A53:F5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 ht="36" customHeight="1">
      <c r="A1" s="11" t="inlineStr">
        <is>
          <t>ImobCreator AI — Custo por Ação (para preencher)</t>
        </is>
      </c>
    </row>
    <row r="2" ht="36" customHeight="1">
      <c r="A2" s="12" t="inlineStr">
        <is>
          <t>#</t>
        </is>
      </c>
      <c r="B2" s="12" t="inlineStr">
        <is>
          <t>AÇÃO / FEATURE</t>
        </is>
      </c>
      <c r="C2" s="12" t="inlineStr">
        <is>
          <t>API USADA</t>
        </is>
      </c>
      <c r="D2" s="12" t="inlineStr">
        <is>
          <t>CUSTO UNIT. (USD)</t>
        </is>
      </c>
      <c r="E2" s="12" t="inlineStr">
        <is>
          <t>CUSTO (BRL)</t>
        </is>
      </c>
      <c r="F2" s="12" t="inlineStr">
        <is>
          <t>VEZES/MÊS (MÉDIA)</t>
        </is>
      </c>
      <c r="G2" s="12" t="inlineStr">
        <is>
          <t>CUSTO TOTAL/MÊS</t>
        </is>
      </c>
    </row>
    <row r="3" ht="24" customHeight="1">
      <c r="A3" s="5" t="n">
        <v>1</v>
      </c>
      <c r="B3" s="6" t="inlineStr">
        <is>
          <t>Gerar legenda/post (texto)</t>
        </is>
      </c>
      <c r="C3" s="13" t="inlineStr">
        <is>
          <t>Claude / Gemini / GPT</t>
        </is>
      </c>
      <c r="D3" s="14" t="inlineStr"/>
      <c r="E3" s="14" t="inlineStr"/>
      <c r="F3" s="14" t="inlineStr"/>
      <c r="G3" s="15">
        <f>IF(E3="","",E3*F3)</f>
        <v/>
      </c>
    </row>
    <row r="4" ht="24" customHeight="1">
      <c r="A4" s="8" t="n">
        <v>2</v>
      </c>
      <c r="B4" s="9" t="inlineStr">
        <is>
          <t>Gerar criativo visual (imagem)</t>
        </is>
      </c>
      <c r="C4" s="16" t="inlineStr">
        <is>
          <t>Fal.ai Flux / DALL-E / Shotstack</t>
        </is>
      </c>
      <c r="D4" s="14" t="inlineStr"/>
      <c r="E4" s="14" t="inlineStr"/>
      <c r="F4" s="14" t="inlineStr"/>
      <c r="G4" s="15">
        <f>IF(E4="","",E4*F4)</f>
        <v/>
      </c>
    </row>
    <row r="5" ht="24" customHeight="1">
      <c r="A5" s="5" t="n">
        <v>3</v>
      </c>
      <c r="B5" s="6" t="inlineStr">
        <is>
          <t>Gerar vídeo cinematográfico (Reel)</t>
        </is>
      </c>
      <c r="C5" s="13" t="inlineStr">
        <is>
          <t>Veo 3.1 / Runway</t>
        </is>
      </c>
      <c r="D5" s="14" t="inlineStr"/>
      <c r="E5" s="14" t="inlineStr"/>
      <c r="F5" s="14" t="inlineStr"/>
      <c r="G5" s="15">
        <f>IF(E5="","",E5*F5)</f>
        <v/>
      </c>
    </row>
    <row r="6" ht="24" customHeight="1">
      <c r="A6" s="8" t="n">
        <v>4</v>
      </c>
      <c r="B6" s="9" t="inlineStr">
        <is>
          <t>Upscale de imagem</t>
        </is>
      </c>
      <c r="C6" s="16" t="inlineStr">
        <is>
          <t>Fal.ai / Replicate</t>
        </is>
      </c>
      <c r="D6" s="14" t="inlineStr"/>
      <c r="E6" s="14" t="inlineStr"/>
      <c r="F6" s="14" t="inlineStr"/>
      <c r="G6" s="15">
        <f>IF(E6="","",E6*F6)</f>
        <v/>
      </c>
    </row>
    <row r="7" ht="24" customHeight="1">
      <c r="A7" s="5" t="n">
        <v>5</v>
      </c>
      <c r="B7" s="6" t="inlineStr">
        <is>
          <t>Agente de Conteúdo IA (análise+copy)</t>
        </is>
      </c>
      <c r="C7" s="13" t="inlineStr">
        <is>
          <t>Claude Opus / GPT-4o</t>
        </is>
      </c>
      <c r="D7" s="14" t="inlineStr"/>
      <c r="E7" s="14" t="inlineStr"/>
      <c r="F7" s="14" t="inlineStr"/>
      <c r="G7" s="15">
        <f>IF(E7="","",E7*F7)</f>
        <v/>
      </c>
    </row>
    <row r="8" ht="24" customHeight="1">
      <c r="A8" s="8" t="n">
        <v>6</v>
      </c>
      <c r="B8" s="9" t="inlineStr">
        <is>
          <t>Reverse Prompt Lab (análise imagem)</t>
        </is>
      </c>
      <c r="C8" s="16" t="inlineStr">
        <is>
          <t>Claude Vision / GPT-4 Vision</t>
        </is>
      </c>
      <c r="D8" s="14" t="inlineStr"/>
      <c r="E8" s="14" t="inlineStr"/>
      <c r="F8" s="14" t="inlineStr"/>
      <c r="G8" s="15">
        <f>IF(E8="","",E8*F8)</f>
        <v/>
      </c>
    </row>
    <row r="9" ht="24" customHeight="1">
      <c r="A9" s="5" t="n">
        <v>7</v>
      </c>
      <c r="B9" s="6" t="inlineStr">
        <is>
          <t>Voz / TTS para vídeo</t>
        </is>
      </c>
      <c r="C9" s="13" t="inlineStr">
        <is>
          <t>ElevenLabs / OpenAI TTS</t>
        </is>
      </c>
      <c r="D9" s="14" t="inlineStr"/>
      <c r="E9" s="14" t="inlineStr"/>
      <c r="F9" s="14" t="inlineStr"/>
      <c r="G9" s="15">
        <f>IF(E9="","",E9*F9)</f>
        <v/>
      </c>
    </row>
    <row r="10" ht="24" customHeight="1">
      <c r="A10" s="8" t="n">
        <v>8</v>
      </c>
      <c r="B10" s="9" t="inlineStr">
        <is>
          <t>Envio de mensagem WhatsApp</t>
        </is>
      </c>
      <c r="C10" s="16" t="inlineStr">
        <is>
          <t>Evolution API (self-hosted)</t>
        </is>
      </c>
      <c r="D10" s="14" t="inlineStr"/>
      <c r="E10" s="14" t="inlineStr"/>
      <c r="F10" s="14" t="inlineStr"/>
      <c r="G10" s="15">
        <f>IF(E10="","",E10*F10)</f>
        <v/>
      </c>
    </row>
    <row r="11" ht="24" customHeight="1">
      <c r="A11" s="5" t="n">
        <v>9</v>
      </c>
      <c r="B11" s="6" t="inlineStr">
        <is>
          <t>Publicação automática Instagram</t>
        </is>
      </c>
      <c r="C11" s="13" t="inlineStr">
        <is>
          <t>Meta Graph API (gratuito)</t>
        </is>
      </c>
      <c r="D11" s="14" t="inlineStr"/>
      <c r="E11" s="14" t="inlineStr"/>
      <c r="F11" s="14" t="inlineStr"/>
      <c r="G11" s="15">
        <f>IF(E11="","",E11*F11)</f>
        <v/>
      </c>
    </row>
    <row r="12" ht="24" customHeight="1">
      <c r="A12" s="8" t="n">
        <v>10</v>
      </c>
      <c r="B12" s="9" t="inlineStr">
        <is>
          <t>Publicação automática Facebook</t>
        </is>
      </c>
      <c r="C12" s="16" t="inlineStr">
        <is>
          <t>Meta Graph API (gratuito)</t>
        </is>
      </c>
      <c r="D12" s="14" t="inlineStr"/>
      <c r="E12" s="14" t="inlineStr"/>
      <c r="F12" s="14" t="inlineStr"/>
      <c r="G12" s="15">
        <f>IF(E12="","",E12*F12)</f>
        <v/>
      </c>
    </row>
    <row r="13" ht="24" customHeight="1">
      <c r="A13" s="5" t="n">
        <v>11</v>
      </c>
      <c r="B13" s="6" t="inlineStr">
        <is>
          <t>Armazenamento de imóvel/mídia</t>
        </is>
      </c>
      <c r="C13" s="13" t="inlineStr">
        <is>
          <t>Supabase Storage</t>
        </is>
      </c>
      <c r="D13" s="14" t="inlineStr"/>
      <c r="E13" s="14" t="inlineStr"/>
      <c r="F13" s="14" t="inlineStr"/>
      <c r="G13" s="15">
        <f>IF(E13="","",E13*F13)</f>
        <v/>
      </c>
    </row>
    <row r="14" ht="24" customHeight="1">
      <c r="A14" s="8" t="n">
        <v>12</v>
      </c>
      <c r="B14" s="9" t="inlineStr">
        <is>
          <t>Processamento de PDF (Book)</t>
        </is>
      </c>
      <c r="C14" s="16" t="inlineStr">
        <is>
          <t>Supabase Edge Functions</t>
        </is>
      </c>
      <c r="D14" s="14" t="inlineStr"/>
      <c r="E14" s="14" t="inlineStr"/>
      <c r="F14" s="14" t="inlineStr"/>
      <c r="G14" s="15">
        <f>IF(E14="","",E14*F14)</f>
        <v/>
      </c>
    </row>
    <row r="15" ht="30" customHeight="1">
      <c r="A15" s="17" t="inlineStr"/>
      <c r="B15" s="18" t="inlineStr">
        <is>
          <t>CUSTO VARIÁVEL TOTAL POR USUÁRIO/MÊS</t>
        </is>
      </c>
      <c r="G15" s="19">
        <f>SUM(G3:G14)</f>
        <v/>
      </c>
    </row>
    <row r="17">
      <c r="B17" s="20" t="inlineStr">
        <is>
          <t>⚠️ Preencha as colunas amarelas (Custo Unit. BRL e Vezes/Mês) para calcular automaticamente</t>
        </is>
      </c>
    </row>
  </sheetData>
  <mergeCells count="3">
    <mergeCell ref="B15:F15"/>
    <mergeCell ref="A1:G1"/>
    <mergeCell ref="B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6" customHeight="1">
      <c r="A1" s="11" t="inlineStr">
        <is>
          <t>ImobCreator AI — Precificação e Margens</t>
        </is>
      </c>
    </row>
    <row r="2" ht="40" customHeight="1">
      <c r="A2" s="12" t="inlineStr">
        <is>
          <t>COMPONENTE</t>
        </is>
      </c>
      <c r="B2" s="12" t="inlineStr">
        <is>
          <t>STARTER
R$97</t>
        </is>
      </c>
      <c r="C2" s="12" t="inlineStr">
        <is>
          <t>BÁSICO
R$197</t>
        </is>
      </c>
      <c r="D2" s="12" t="inlineStr">
        <is>
          <t>PRO
R$397</t>
        </is>
      </c>
      <c r="E2" s="12" t="inlineStr">
        <is>
          <t>MAX
R$697</t>
        </is>
      </c>
      <c r="F2" s="12" t="inlineStr">
        <is>
          <t>NOTAS</t>
        </is>
      </c>
    </row>
    <row r="3" ht="24" customHeight="1">
      <c r="A3" s="21" t="inlineStr">
        <is>
          <t>💰 RECEITA</t>
        </is>
      </c>
    </row>
    <row r="4" ht="24" customHeight="1">
      <c r="A4" s="22" t="inlineStr">
        <is>
          <t>RECEITA BRUTA MENSAL</t>
        </is>
      </c>
      <c r="B4" s="23" t="inlineStr">
        <is>
          <t>R$ 97</t>
        </is>
      </c>
      <c r="C4" s="23" t="inlineStr">
        <is>
          <t>R$ 197</t>
        </is>
      </c>
      <c r="D4" s="23" t="inlineStr">
        <is>
          <t>R$ 397</t>
        </is>
      </c>
      <c r="E4" s="23" t="inlineStr">
        <is>
          <t>R$ 697</t>
        </is>
      </c>
      <c r="F4" s="24" t="inlineStr">
        <is>
          <t>Preço do plano</t>
        </is>
      </c>
    </row>
    <row r="5" ht="24" customHeight="1">
      <c r="A5" s="22" t="inlineStr">
        <is>
          <t>Taxa Hotmart (~9,9%)</t>
        </is>
      </c>
      <c r="B5" s="23">
        <f>B4*-0.099</f>
        <v/>
      </c>
      <c r="C5" s="23">
        <f>C4*-0.099</f>
        <v/>
      </c>
      <c r="D5" s="23">
        <f>D4*-0.099</f>
        <v/>
      </c>
      <c r="E5" s="23">
        <f>E4*-0.099</f>
        <v/>
      </c>
      <c r="F5" s="24" t="inlineStr">
        <is>
          <t>Varia por plano/volume</t>
        </is>
      </c>
    </row>
    <row r="6" ht="24" customHeight="1">
      <c r="A6" s="25" t="inlineStr">
        <is>
          <t>RECEITA LÍQUIDA</t>
        </is>
      </c>
      <c r="B6" s="26">
        <f>B4+B5</f>
        <v/>
      </c>
      <c r="C6" s="26">
        <f>C4+C5</f>
        <v/>
      </c>
      <c r="D6" s="26">
        <f>D4+D5</f>
        <v/>
      </c>
      <c r="E6" s="26">
        <f>E4+E5</f>
        <v/>
      </c>
      <c r="F6" s="27" t="inlineStr">
        <is>
          <t>Após taxa Hotmart</t>
        </is>
      </c>
    </row>
    <row r="8" ht="24" customHeight="1">
      <c r="A8" s="21" t="inlineStr">
        <is>
          <t>🔧 CUSTOS INFRA (FIXO)</t>
        </is>
      </c>
    </row>
    <row r="9" ht="24" customHeight="1">
      <c r="A9" s="28" t="inlineStr">
        <is>
          <t>Supabase Pro (÷ usuários)</t>
        </is>
      </c>
      <c r="B9" s="29" t="inlineStr"/>
      <c r="C9" s="29" t="inlineStr"/>
      <c r="D9" s="29" t="inlineStr"/>
      <c r="E9" s="29" t="inlineStr"/>
      <c r="F9" s="30" t="inlineStr">
        <is>
          <t>Preencher conforme base</t>
        </is>
      </c>
    </row>
    <row r="10" ht="24" customHeight="1">
      <c r="A10" s="28" t="inlineStr">
        <is>
          <t>Vercel Pro (÷ usuários)</t>
        </is>
      </c>
      <c r="B10" s="29" t="inlineStr"/>
      <c r="C10" s="29" t="inlineStr"/>
      <c r="D10" s="29" t="inlineStr"/>
      <c r="E10" s="29" t="inlineStr"/>
      <c r="F10" s="30" t="inlineStr">
        <is>
          <t>Preencher conforme base</t>
        </is>
      </c>
    </row>
    <row r="11" ht="24" customHeight="1">
      <c r="A11" s="28" t="inlineStr">
        <is>
          <t>Railway API + Redis (÷ usuários)</t>
        </is>
      </c>
      <c r="B11" s="29" t="inlineStr"/>
      <c r="C11" s="29" t="inlineStr"/>
      <c r="D11" s="29" t="inlineStr"/>
      <c r="E11" s="29" t="inlineStr"/>
      <c r="F11" s="30" t="inlineStr">
        <is>
          <t>Preencher conforme base</t>
        </is>
      </c>
    </row>
    <row r="12" ht="24" customHeight="1">
      <c r="A12" s="28" t="inlineStr">
        <is>
          <t>Evolution API (÷ usuários)</t>
        </is>
      </c>
      <c r="B12" s="29" t="inlineStr"/>
      <c r="C12" s="29" t="inlineStr"/>
      <c r="D12" s="29" t="inlineStr"/>
      <c r="E12" s="29" t="inlineStr"/>
      <c r="F12" s="30" t="inlineStr">
        <is>
          <t>Preencher conforme base</t>
        </is>
      </c>
    </row>
    <row r="13" ht="24" customHeight="1">
      <c r="A13" s="25" t="inlineStr">
        <is>
          <t>TOTAL INFRA FIXA/USUÁRIO</t>
        </is>
      </c>
      <c r="B13" s="31" t="inlineStr"/>
      <c r="C13" s="31" t="inlineStr"/>
      <c r="D13" s="31" t="inlineStr"/>
      <c r="E13" s="31" t="inlineStr"/>
      <c r="F13" s="27">
        <f>SOMA das linhas acima</f>
        <v/>
      </c>
    </row>
    <row r="15" ht="24" customHeight="1">
      <c r="A15" s="21" t="inlineStr">
        <is>
          <t>⚡ CUSTOS VARIÁVEIS</t>
        </is>
      </c>
    </row>
    <row r="16" ht="24" customHeight="1">
      <c r="A16" s="9" t="inlineStr">
        <is>
          <t>IA — geração de texto</t>
        </is>
      </c>
      <c r="B16" s="29" t="inlineStr"/>
      <c r="C16" s="29" t="inlineStr"/>
      <c r="D16" s="29" t="inlineStr"/>
      <c r="E16" s="29" t="inlineStr"/>
      <c r="F16" s="32" t="inlineStr">
        <is>
          <t>Claude/Gemini por uso</t>
        </is>
      </c>
    </row>
    <row r="17" ht="24" customHeight="1">
      <c r="A17" s="9" t="inlineStr">
        <is>
          <t>IA — geração de imagem</t>
        </is>
      </c>
      <c r="B17" s="29" t="inlineStr"/>
      <c r="C17" s="29" t="inlineStr"/>
      <c r="D17" s="29" t="inlineStr"/>
      <c r="E17" s="29" t="inlineStr"/>
      <c r="F17" s="32" t="inlineStr">
        <is>
          <t>Fal.ai/DALL-E por uso</t>
        </is>
      </c>
    </row>
    <row r="18" ht="24" customHeight="1">
      <c r="A18" s="9" t="inlineStr">
        <is>
          <t>IA — geração de vídeo</t>
        </is>
      </c>
      <c r="B18" s="29" t="inlineStr"/>
      <c r="C18" s="29" t="inlineStr"/>
      <c r="D18" s="29" t="inlineStr"/>
      <c r="E18" s="29" t="inlineStr"/>
      <c r="F18" s="32" t="inlineStr">
        <is>
          <t>Veo/Runway por uso</t>
        </is>
      </c>
    </row>
    <row r="19" ht="24" customHeight="1">
      <c r="A19" s="9" t="inlineStr">
        <is>
          <t>WhatsApp (msgs enviadas)</t>
        </is>
      </c>
      <c r="B19" s="29" t="inlineStr"/>
      <c r="C19" s="29" t="inlineStr"/>
      <c r="D19" s="29" t="inlineStr"/>
      <c r="E19" s="29" t="inlineStr"/>
      <c r="F19" s="32" t="inlineStr">
        <is>
          <t>Evolution self-hosted</t>
        </is>
      </c>
    </row>
    <row r="20" ht="24" customHeight="1">
      <c r="A20" s="9" t="inlineStr">
        <is>
          <t>Armazenamento (mídias)</t>
        </is>
      </c>
      <c r="B20" s="29" t="inlineStr"/>
      <c r="C20" s="29" t="inlineStr"/>
      <c r="D20" s="29" t="inlineStr"/>
      <c r="E20" s="29" t="inlineStr"/>
      <c r="F20" s="32" t="inlineStr">
        <is>
          <t>Supabase Storage</t>
        </is>
      </c>
    </row>
    <row r="21" ht="24" customHeight="1">
      <c r="A21" s="25" t="inlineStr">
        <is>
          <t>TOTAL VARIÁVEL/USUÁRIO</t>
        </is>
      </c>
      <c r="B21" s="31" t="inlineStr"/>
      <c r="C21" s="31" t="inlineStr"/>
      <c r="D21" s="31" t="inlineStr"/>
      <c r="E21" s="31" t="inlineStr"/>
      <c r="F21" s="27">
        <f>SOMA das linhas acima</f>
        <v/>
      </c>
    </row>
    <row r="23" ht="24" customHeight="1">
      <c r="A23" s="21" t="inlineStr">
        <is>
          <t>📊 RESULTADO</t>
        </is>
      </c>
    </row>
    <row r="24" ht="24" customHeight="1">
      <c r="A24" s="25" t="inlineStr">
        <is>
          <t>CUSTO TOTAL/USUÁRIO/MÊS</t>
        </is>
      </c>
      <c r="B24" s="31" t="inlineStr"/>
      <c r="C24" s="31" t="inlineStr"/>
      <c r="D24" s="31" t="inlineStr"/>
      <c r="E24" s="31" t="inlineStr"/>
      <c r="F24" s="27" t="inlineStr">
        <is>
          <t>Infra + Variável</t>
        </is>
      </c>
    </row>
    <row r="25" ht="24" customHeight="1">
      <c r="A25" s="25" t="inlineStr">
        <is>
          <t>MARGEM BRUTA (R$)</t>
        </is>
      </c>
      <c r="B25" s="31" t="inlineStr"/>
      <c r="C25" s="31" t="inlineStr"/>
      <c r="D25" s="31" t="inlineStr"/>
      <c r="E25" s="31" t="inlineStr"/>
      <c r="F25" s="27" t="inlineStr">
        <is>
          <t>Receita líquida - Custos</t>
        </is>
      </c>
    </row>
    <row r="26" ht="24" customHeight="1">
      <c r="A26" s="25" t="inlineStr">
        <is>
          <t>MARGEM BRUTA (%)</t>
        </is>
      </c>
      <c r="B26" s="31" t="inlineStr"/>
      <c r="C26" s="31" t="inlineStr"/>
      <c r="D26" s="31" t="inlineStr"/>
      <c r="E26" s="31" t="inlineStr"/>
      <c r="F26" s="27" t="inlineStr">
        <is>
          <t>Margem / Receita líquida</t>
        </is>
      </c>
    </row>
    <row r="27" ht="24" customHeight="1">
      <c r="A27" s="25" t="inlineStr">
        <is>
          <t>BREAK-EVEN (nº clientes)</t>
        </is>
      </c>
      <c r="B27" s="31" t="inlineStr"/>
      <c r="C27" s="31" t="inlineStr"/>
      <c r="D27" s="31" t="inlineStr"/>
      <c r="E27" s="31" t="inlineStr"/>
      <c r="F27" s="27" t="inlineStr">
        <is>
          <t>Custo fixo total ÷ Margem</t>
        </is>
      </c>
    </row>
  </sheetData>
  <mergeCells count="5">
    <mergeCell ref="A1:F1"/>
    <mergeCell ref="A23:F23"/>
    <mergeCell ref="A8:F8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2026-04-07T23:36:32Z</dcterms:created>
  <dcterms:modified xmlns:dcterms="http://purl.org/dc/terms/" xmlns:xsi="http://www.w3.org/2001/XMLSchema-instance" xsi:type="dcterms:W3CDTF">2026-04-07T23:36:32Z</dcterms:modified>
</cp:coreProperties>
</file>